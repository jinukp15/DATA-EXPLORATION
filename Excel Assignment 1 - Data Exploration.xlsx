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1"/>
  </bookViews>
  <sheets>
    <sheet name="Instructions" sheetId="1" r:id="rId1"/>
    <sheet name="Dataset" sheetId="2" r:id="rId2"/>
  </sheets>
  <calcPr calcId="144525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N11" i="2"/>
  <c r="N1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N9" i="2"/>
  <c r="N8" i="2"/>
  <c r="N6" i="2"/>
  <c r="B36" i="2"/>
  <c r="D36" i="2"/>
</calcChain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<sst xmlns="http://schemas.openxmlformats.org/spreadsheetml/2006/main" count="171" uniqueCount="122">
  <si>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</si>
  <si>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</si>
  <si>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</si>
  <si>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</si>
  <si>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</si>
  <si>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</si>
  <si>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</si>
  <si>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</si>
  <si>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</si>
  <si>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</si>
  <si>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</si>
  <si>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</si>
  <si>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</si>
  <si>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</si>
  <si>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</si>
  <si>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</si>
  <si>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</si>
  <si>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</si>
  <si>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</si>
  <si>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</si>
  <si>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</si>
  <si>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</si>
  <si>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</si>
  <si>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</si>
  <si>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</si>
  <si>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</si>
  <si>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</si>
  <si>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</si>
  <si>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</si>
  <si>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</si>
  <si>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</si>
  <si>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</si>
  <si>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</si>
  <si>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</si>
  <si>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</si>
  <si>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</si>
  <si>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</si>
  <si>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</si>
  <si>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</si>
  <si>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</si>
  <si>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</si>
  <si>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</si>
  <si>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</si>
  <si>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</si>
  <si>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</si>
  <si>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</si>
  <si>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</si>
  <si>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</si>
  <si>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</si>
  <si>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</si>
  <si>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</si>
  <si>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</si>
  <si>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</si>
  <si>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</si>
  <si>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</si>
  <si>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</si>
  <si>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</si>
  <si>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</si>
  <si>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</si>
  <si>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</si>
  <si>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</si>
  <si>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</si>
  <si>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</si>
  <si>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</si>
  <si>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</si>
  <si>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</si>
  <si>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</si>
  <si>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</si>
  <si>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</si>
  <si>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</si>
  <si>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</si>
  <si>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</si>
  <si>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</si>
  <si>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</si>
  <si>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</si>
  <si>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</si>
  <si>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</si>
  <si>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</si>
  <si>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</si>
  <si>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</si>
  <si>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</si>
  <si>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</si>
  <si>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</si>
  <si>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</si>
  <si>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</si>
  <si>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</si>
  <si>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</si>
  <si>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</si>
  <si>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</si>
  <si>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</si>
  <si>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</si>
  <si>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</si>
  <si>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</si>
  <si>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</si>
  <si>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</si>
  <si>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</si>
  <si>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</si>
  <si>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</si>
  <si>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</si>
  <si>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</si>
  <si>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</si>
  <si>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</si>
  <si>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</si>
  <si>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</si>
  <si>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</si>
  <si>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</si>
  <si>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</si>
  <si>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</si>
  <si>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</si>
  <si>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</si>
  <si>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</si>
  <si>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\</t>
  </si>
  <si>
    <t>Count</t>
  </si>
  <si>
    <t>AVERAGE</t>
  </si>
  <si>
    <t>MINIMUM PRICE</t>
  </si>
  <si>
    <t>MAXIMUM PRICE</t>
  </si>
  <si>
    <t>Price range</t>
  </si>
  <si>
    <t>Total price of Electronics</t>
  </si>
  <si>
    <t>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</si>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</sst>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8" fillId="0" borderId="0" xfId="0" applyFont="1" applyAlignment="1"/>
    <xf numFmtId="0" fontId="9" fillId="5" borderId="0" xfId="0" applyFont="1" applyFill="1" applyAlignment="1"/>
    <xf numFmtId="0" fontId="9" fillId="6" borderId="0" xfId="0" applyFont="1" applyFill="1" applyAlignment="1"/>
    <xf numFmtId="0" fontId="0" fillId="6" borderId="0" xfId="0" applyFont="1" applyFill="1" applyAlignment="1"/>
    <xf numFmtId="0" fontId="7" fillId="7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tabSelected="1" topLeftCell="A10" workbookViewId="0">
      <selection activeCell="K18" sqref="K18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10" width="12.5703125" customWidth="1"/>
    <col min="13" max="13" width="21.42578125" customWidth="1"/>
  </cols>
  <sheetData>
    <row r="1" spans="1:14" ht="15.75" customHeight="1" x14ac:dyDescent="0.2">
      <c r="A1" s="5" t="s">
        <v>17</v>
      </c>
      <c r="B1" s="1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5" t="s">
        <v>116</v>
      </c>
      <c r="H1" s="15" t="s">
        <v>119</v>
      </c>
      <c r="I1" s="15" t="s">
        <v>120</v>
      </c>
      <c r="J1" s="15" t="s">
        <v>121</v>
      </c>
      <c r="K1" s="14"/>
    </row>
    <row r="2" spans="1:14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IF(D2:D35&gt;=500,"HIGH PRICE","LOW PRICE")</f>
        <v>HIGH PRICE</v>
      </c>
      <c r="H2" s="7" t="str">
        <f>LEFT(A2:A35,2)</f>
        <v>28</v>
      </c>
      <c r="I2" s="7" t="str">
        <f>RIGHT(A2:A35,2)</f>
        <v>US</v>
      </c>
      <c r="J2" s="7" t="str">
        <f>MID(A2:A35,4,3)</f>
        <v>JAN</v>
      </c>
      <c r="K2" s="7"/>
    </row>
    <row r="3" spans="1:14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IF(D3:D36&gt;=500,"HIGH PRICE","LOW PRICE")</f>
        <v>LOW PRICE</v>
      </c>
      <c r="H3" s="7" t="str">
        <f t="shared" ref="H3:H35" si="1">LEFT(A3:A36,2)</f>
        <v>15</v>
      </c>
      <c r="I3" s="7" t="str">
        <f t="shared" ref="I3:I35" si="2">RIGHT(A3:A36,2)</f>
        <v>US</v>
      </c>
      <c r="J3" s="7" t="str">
        <f t="shared" ref="J3:J35" si="3">MID(A3:A36,4,3)</f>
        <v>FEB</v>
      </c>
      <c r="K3" s="7"/>
    </row>
    <row r="4" spans="1:14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LOW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  <c r="K4" s="7"/>
    </row>
    <row r="5" spans="1:14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K5" s="7"/>
    </row>
    <row r="6" spans="1:14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LOW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  <c r="K6" s="7"/>
      <c r="M6" s="10" t="s">
        <v>113</v>
      </c>
      <c r="N6">
        <f>AVERAGE(D2:D35)</f>
        <v>297.05882352941177</v>
      </c>
    </row>
    <row r="7" spans="1:14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LOW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K7" s="7"/>
    </row>
    <row r="8" spans="1:14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LOW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  <c r="K8" s="7"/>
      <c r="M8" s="10" t="s">
        <v>114</v>
      </c>
      <c r="N8">
        <f>MIN(D2:D35)</f>
        <v>30</v>
      </c>
    </row>
    <row r="9" spans="1:14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LOW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K9" s="7"/>
      <c r="M9" s="10" t="s">
        <v>115</v>
      </c>
      <c r="N9">
        <f>MAX(D2:D35)</f>
        <v>1000</v>
      </c>
    </row>
    <row r="10" spans="1:14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  <c r="K10" s="7"/>
      <c r="M10" s="10" t="s">
        <v>117</v>
      </c>
      <c r="N10">
        <f>SUMIF(F2:F35,"electronics",D2:D35)</f>
        <v>8050</v>
      </c>
    </row>
    <row r="11" spans="1:14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LOW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  <c r="K11" s="7"/>
      <c r="M11" s="10" t="s">
        <v>118</v>
      </c>
      <c r="N11">
        <f>COUNTIF(D2:D35,"&lt;100")</f>
        <v>11</v>
      </c>
    </row>
    <row r="12" spans="1:14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  <c r="K12" s="7"/>
    </row>
    <row r="13" spans="1:14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LOW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  <c r="K13" s="7"/>
    </row>
    <row r="14" spans="1:14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LOW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  <c r="K14" s="7"/>
    </row>
    <row r="15" spans="1:14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LOW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  <c r="K15" s="7"/>
    </row>
    <row r="16" spans="1:14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LOW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  <c r="K16" s="7"/>
    </row>
    <row r="17" spans="1:11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LOW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  <c r="K17" s="7"/>
    </row>
    <row r="18" spans="1:11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LOW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  <c r="K18" s="7"/>
    </row>
    <row r="19" spans="1:11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  <c r="K19" s="7"/>
    </row>
    <row r="20" spans="1:11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LOW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  <c r="K20" s="7"/>
    </row>
    <row r="21" spans="1:11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LOW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  <c r="K21" s="7"/>
    </row>
    <row r="22" spans="1:11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  <c r="K22" s="7"/>
    </row>
    <row r="23" spans="1:11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LOW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  <c r="K23" s="7"/>
    </row>
    <row r="24" spans="1:11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LOW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  <c r="K24" s="7"/>
    </row>
    <row r="25" spans="1:11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LOW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  <c r="K25" s="9"/>
    </row>
    <row r="26" spans="1:11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  <c r="K26" s="7"/>
    </row>
    <row r="27" spans="1:11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LOW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  <c r="K27" s="7"/>
    </row>
    <row r="28" spans="1:11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LOW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  <c r="K28" s="7"/>
    </row>
    <row r="29" spans="1:11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LOW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  <c r="K29" s="9"/>
    </row>
    <row r="30" spans="1:11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LOW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  <c r="K30" s="7"/>
    </row>
    <row r="31" spans="1:11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LOW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  <c r="K31" s="7"/>
    </row>
    <row r="32" spans="1:11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LOW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  <c r="K32" s="7"/>
    </row>
    <row r="33" spans="1:11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LOW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  <c r="K33" s="7"/>
    </row>
    <row r="34" spans="1:11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  <c r="K34" s="7"/>
    </row>
    <row r="35" spans="1:11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LOW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  <c r="K35" s="7"/>
    </row>
    <row r="36" spans="1:11" ht="15.75" customHeight="1" x14ac:dyDescent="0.2">
      <c r="A36" s="11" t="s">
        <v>112</v>
      </c>
      <c r="B36">
        <f>COUNTA(B2:B35)</f>
        <v>34</v>
      </c>
      <c r="C36" s="12" t="s">
        <v>110</v>
      </c>
      <c r="D36" s="13">
        <f>SUM(D2:D35)</f>
        <v>10100</v>
      </c>
    </row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>
      <c r="C41" s="10" t="s">
        <v>111</v>
      </c>
    </row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Rinto</dc:creator>
  <cp:lastModifiedBy>Rinto</cp:lastModifiedBy>
  <dcterms:created xsi:type="dcterms:W3CDTF">2026-08-26T16:16:12Z</dcterms:created>
  <dcterms:modified xsi:type="dcterms:W3CDTF">2026-08-26T16:16:12Z</dcterms:modified>
</cp:coreProperties>
</file>